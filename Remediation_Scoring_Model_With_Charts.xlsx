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demarc/Documents/Product_Management/PMG/Projects/1_Migration_Tool_Suite_Approved/Remediation_Scoring_Model/"/>
    </mc:Choice>
  </mc:AlternateContent>
  <xr:revisionPtr revIDLastSave="0" documentId="13_ncr:1_{DF7C1200-EA35-EC4A-ACB4-E0575C398A1B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Remediation Score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15" i="1" s="1"/>
  <c r="D5" i="1"/>
  <c r="B14" i="1" s="1"/>
  <c r="D4" i="1"/>
  <c r="B13" i="1" l="1"/>
  <c r="D8" i="1"/>
  <c r="D9" i="1" s="1"/>
</calcChain>
</file>

<file path=xl/sharedStrings.xml><?xml version="1.0" encoding="utf-8"?>
<sst xmlns="http://schemas.openxmlformats.org/spreadsheetml/2006/main" count="15" uniqueCount="13">
  <si>
    <t>Remediation Scoring Model</t>
  </si>
  <si>
    <t>Complexity Level</t>
  </si>
  <si>
    <t>Weight in hours</t>
  </si>
  <si>
    <t>Observed Count</t>
  </si>
  <si>
    <t>Weighted Score</t>
  </si>
  <si>
    <t>Simple</t>
  </si>
  <si>
    <t>Medium</t>
  </si>
  <si>
    <t>Complex</t>
  </si>
  <si>
    <t>Total Remediation Score</t>
  </si>
  <si>
    <t>Normalized Score</t>
  </si>
  <si>
    <t>Complexity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</si>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</sst>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Remediation Effort by Complexity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'Remediation Score Model'!$B$12</c:f>
              <c:strCache>
                <c:ptCount val="1"/>
                <c:pt idx="0">
                  <c:v>Weighted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'Remediation Score Model'!$A$13:$A$15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'Remediation Score Model'!$B$13:$B$15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D-624A-9302-C7EC8DD0B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Complexity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Weighted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Complexity Distribution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'Remediation Score Model'!$B$12</c:f>
              <c:strCache>
                <c:ptCount val="1"/>
                <c:pt idx="0">
                  <c:v>Weighted 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'Remediation Score Model'!$A$13:$A$15</c:f>
              <c:strCache>
                <c:ptCount val="3"/>
                <c:pt idx="0">
                  <c:v>Easy</c:v>
                </c:pt>
                <c:pt idx="1">
                  <c:v>Medium</c:v>
                </c:pt>
                <c:pt idx="2">
                  <c:v>Hard</c:v>
                </c:pt>
              </c:strCache>
            </c:strRef>
          </c:cat>
          <c:val>
            <c:numRef>
              <c:f>'Remediation Score Model'!$B$13:$B$15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7-B749-8A30-5048A11E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10" zoomScaleNormal="110" workbookViewId="0">
      <selection activeCell="C6" sqref="C6"/>
    </sheetView>
  </sheetViews>
  <sheetFormatPr baseColWidth="10" defaultColWidth="8.83203125" defaultRowHeight="15" x14ac:dyDescent="0.2"/>
  <cols>
    <col min="1" max="1" width="28" bestFit="1" customWidth="1"/>
    <col min="2" max="4" width="28" customWidth="1"/>
  </cols>
  <sheetData>
    <row r="1" spans="1:4" ht="19" customHeight="1" x14ac:dyDescent="0.25">
      <c r="A1" s="1" t="s">
        <v>0</v>
      </c>
    </row>
    <row r="3" spans="1:4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">
      <c r="A4" t="s">
        <v>5</v>
      </c>
      <c r="B4">
        <v>1</v>
      </c>
      <c r="C4">
        <v>100</v>
      </c>
      <c r="D4">
        <f>B4*C4</f>
        <v>100</v>
      </c>
    </row>
    <row r="5" spans="1:4" x14ac:dyDescent="0.2">
      <c r="A5" t="s">
        <v>6</v>
      </c>
      <c r="B5">
        <v>4</v>
      </c>
      <c r="C5">
        <v>25</v>
      </c>
      <c r="D5">
        <f>B5*C5</f>
        <v>100</v>
      </c>
    </row>
    <row r="6" spans="1:4" x14ac:dyDescent="0.2">
      <c r="A6" t="s">
        <v>7</v>
      </c>
      <c r="B6">
        <v>8</v>
      </c>
      <c r="C6">
        <v>5</v>
      </c>
      <c r="D6">
        <f>B6*C6</f>
        <v>40</v>
      </c>
    </row>
    <row r="8" spans="1:4" x14ac:dyDescent="0.2">
      <c r="A8" s="2" t="s">
        <v>8</v>
      </c>
      <c r="D8">
        <f>SUM(D4:D6)</f>
        <v>240</v>
      </c>
    </row>
    <row r="9" spans="1:4" x14ac:dyDescent="0.2">
      <c r="A9" s="2" t="s">
        <v>9</v>
      </c>
      <c r="D9">
        <f>D8/SUM(C4:C6)</f>
        <v>1.8461538461538463</v>
      </c>
    </row>
    <row r="12" spans="1:4" x14ac:dyDescent="0.2">
      <c r="A12" s="3" t="s">
        <v>10</v>
      </c>
      <c r="B12" s="3" t="s">
        <v>4</v>
      </c>
    </row>
    <row r="13" spans="1:4" x14ac:dyDescent="0.2">
      <c r="A13" t="s">
        <v>11</v>
      </c>
      <c r="B13">
        <f>D4</f>
        <v>100</v>
      </c>
    </row>
    <row r="14" spans="1:4" x14ac:dyDescent="0.2">
      <c r="A14" t="s">
        <v>6</v>
      </c>
      <c r="B14">
        <f>D5</f>
        <v>100</v>
      </c>
    </row>
    <row r="15" spans="1:4" x14ac:dyDescent="0.2">
      <c r="A15" t="s">
        <v>12</v>
      </c>
      <c r="B15">
        <f>D6</f>
        <v>40</v>
      </c>
    </row>
  </sheetData>
  <pageMargins left="0.75" right="0.75" top="1" bottom="1" header="0.5" footer="0.5"/>
  <headerFooter>
    <oddFooter>&amp;L&amp;"Calibri"&amp;10 &amp;K000000_x000D_# Confidential – Oracle Internal</oddFooter>
  </headerFooter>
  <drawing r:id="rId1"/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Remediation Score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DeMarco</cp:lastModifiedBy>
  <dcterms:created xsi:type="dcterms:W3CDTF">2025-06-25T22:42:55Z</dcterms:created>
  <dcterms:modified xsi:type="dcterms:W3CDTF">2026-05-17T21:33:10Z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2025-06-25T22:44:36Z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4d94d5c1-8967-4be7-a9d3-90a1ba577aba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50, 3, 0, 1</vt:lpwstr>
  </property>
</Properties>
</file>